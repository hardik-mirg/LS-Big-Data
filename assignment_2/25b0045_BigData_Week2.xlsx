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hidePivotFieldList="1" defaultThemeVersion="166925"/>
  <xr:revisionPtr revIDLastSave="0" documentId="8_{5E6E438F-E694-4E22-830C-E26435E1C8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lectronics" sheetId="4" r:id="rId1"/>
    <sheet name="quotes" sheetId="1" r:id="rId2"/>
    <sheet name="author_genre" sheetId="3" r:id="rId3"/>
    <sheet name="pivot_table" sheetId="2" r:id="rId4"/>
  </sheets>
  <definedNames>
    <definedName name="Slicer_author">#N/A</definedName>
  </definedNames>
  <calcPr calcId="191028"/>
  <pivotCaches>
    <pivotCache cacheId="80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4" i="4"/>
  <c r="F5" i="4"/>
  <c r="F6" i="4"/>
  <c r="F7" i="4"/>
  <c r="F8" i="4"/>
  <c r="F9" i="4"/>
  <c r="F4" i="4"/>
  <c r="G5" i="4"/>
  <c r="G6" i="4"/>
  <c r="G7" i="4"/>
  <c r="G8" i="4"/>
  <c r="G9" i="4"/>
  <c r="G4" i="4"/>
  <c r="D3" i="1"/>
  <c r="D4" i="1"/>
  <c r="D5" i="1"/>
  <c r="D6" i="1"/>
  <c r="D7" i="1"/>
  <c r="D8" i="1"/>
  <c r="D9" i="1"/>
  <c r="D10" i="1"/>
  <c r="D11" i="1"/>
  <c r="D2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<sst xmlns="http://schemas.openxmlformats.org/spreadsheetml/2006/main" count="70" uniqueCount="46">
  <si>
    <t>Exchange Rate:</t>
  </si>
  <si>
    <t>id</t>
  </si>
  <si>
    <t>title</t>
  </si>
  <si>
    <t>price</t>
  </si>
  <si>
    <t>category</t>
  </si>
  <si>
    <t>clean title</t>
  </si>
  <si>
    <t>price inr</t>
  </si>
  <si>
    <t>price range</t>
  </si>
  <si>
    <t>WD 2TB Elements Portable External Hard Drive - USB 3.0</t>
  </si>
  <si>
    <t>electronics</t>
  </si>
  <si>
    <t>SanDisk SSD PLUS 1TB Internal SSD - SATA III 6 Gb/s</t>
  </si>
  <si>
    <t>Silicon Power 256GB SSD 3D NAND A55 SLC Cache Performance Boost SATA III 2.5</t>
  </si>
  <si>
    <t>WD 4TB Gaming Drive Works with Playstation 4 Portable External Hard Drive</t>
  </si>
  <si>
    <t>Acer SB220Q bi 21.5 inches Full HD (1920 x 1080) IPS Ultra-Thin</t>
  </si>
  <si>
    <t>Samsung 49-Inch CHG90 144Hz Curved Gaming Monitor (LC49HG90DMNXZA) – Super Ultrawide Screen QLED</t>
  </si>
  <si>
    <t>text</t>
  </si>
  <si>
    <t>length</t>
  </si>
  <si>
    <t>author</t>
  </si>
  <si>
    <t>genre</t>
  </si>
  <si>
    <t>“The world as we have created it is a process of our thinking. It cannot be changed without changing our thinking.”</t>
  </si>
  <si>
    <t>Albert Einstein</t>
  </si>
  <si>
    <t>“It is our choices, Harry, that show what we truly are, far more than our abilities.”</t>
  </si>
  <si>
    <t>J.K. Rowling</t>
  </si>
  <si>
    <t>“There are only two ways to live your life. One is as though nothing is a miracle. The other is as though everything is a miracle.”</t>
  </si>
  <si>
    <t>“The person, be it gentleman or lady, who has not pleasure in a good novel, must be intolerably stupid.”</t>
  </si>
  <si>
    <t>Jane Austen</t>
  </si>
  <si>
    <t>“Imperfection is beauty, madness is genius and it's better to be absolutely ridiculous than absolutely boring.”</t>
  </si>
  <si>
    <t>Marilyn Monroe</t>
  </si>
  <si>
    <t>“Try not to become a man of success. Rather become a man of value.”</t>
  </si>
  <si>
    <t>“It is better to be hated for what you are than to be loved for what you are not.”</t>
  </si>
  <si>
    <t>André Gide</t>
  </si>
  <si>
    <t>“I have not failed. I've just found 10,000 ways that won't work.”</t>
  </si>
  <si>
    <t>Thomas A. Edison</t>
  </si>
  <si>
    <t>“A woman is like a tea bag; you never know how strong it is until it's in hot water.”</t>
  </si>
  <si>
    <t>Eleanor Roosevelt</t>
  </si>
  <si>
    <t>“A day without sunshine is like, you know, night.”</t>
  </si>
  <si>
    <t>Steve Martin</t>
  </si>
  <si>
    <t>Author</t>
  </si>
  <si>
    <t>Genre</t>
  </si>
  <si>
    <t>Science</t>
  </si>
  <si>
    <t>Fiction</t>
  </si>
  <si>
    <t>Art</t>
  </si>
  <si>
    <t>Politics</t>
  </si>
  <si>
    <t>Count of text</t>
  </si>
  <si>
    <t>Average of length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</si>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</sst>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sz val="10"/>
      <color theme="1"/>
      <name val="Times New Roman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Border="1"/>
    <xf numFmtId="0" fontId="1" fillId="3" borderId="4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0" fillId="0" borderId="0" xfId="0" pivotButton="1"/>
    <xf numFmtId="0" fontId="0" fillId="0" borderId="0" xfId="0" applyNumberFormat="1"/>
    <xf numFmtId="0" fontId="1" fillId="0" borderId="8" xfId="0" applyFont="1" applyBorder="1"/>
    <xf numFmtId="0" fontId="1" fillId="0" borderId="0" xfId="0" applyFont="1" applyBorder="1"/>
    <xf numFmtId="0" fontId="1" fillId="5" borderId="0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5" borderId="10" xfId="0" applyFont="1" applyFill="1" applyBorder="1"/>
    <xf numFmtId="0" fontId="1" fillId="0" borderId="11" xfId="0" applyFont="1" applyBorder="1"/>
    <xf numFmtId="0" fontId="1" fillId="5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4" borderId="12" xfId="0" applyFont="1" applyFill="1" applyBorder="1"/>
    <xf numFmtId="0" fontId="1" fillId="4" borderId="13" xfId="0" applyFont="1" applyFill="1" applyBorder="1"/>
    <xf numFmtId="0" fontId="1" fillId="4" borderId="14" xfId="0" applyFont="1" applyFill="1" applyBorder="1"/>
    <xf numFmtId="0" fontId="1" fillId="6" borderId="12" xfId="0" applyFont="1" applyFill="1" applyBorder="1"/>
    <xf numFmtId="0" fontId="1" fillId="6" borderId="13" xfId="0" applyFont="1" applyFill="1" applyBorder="1"/>
    <xf numFmtId="0" fontId="1" fillId="6" borderId="14" xfId="0" applyFont="1" applyFill="1" applyBorder="1"/>
    <xf numFmtId="0" fontId="1" fillId="7" borderId="1" xfId="0" applyFont="1" applyFill="1" applyBorder="1"/>
    <xf numFmtId="0" fontId="2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1</xdr:row>
      <xdr:rowOff>19050</xdr:rowOff>
    </xdr:from>
    <xdr:to>
      <xdr:col>7</xdr:col>
      <xdr:colOff>161925</xdr:colOff>
      <xdr:row>14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author">
              <a:extLst>
                <a:ext uri="{FF2B5EF4-FFF2-40B4-BE49-F238E27FC236}">
                  <a16:creationId xmlns:a16="http://schemas.microsoft.com/office/drawing/2014/main" id="{AC55A49D-7763-7F2A-F7F9-B8C424B038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h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43300" y="209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6.47236284722" createdVersion="8" refreshedVersion="8" minRefreshableVersion="3" recordCount="10" xr:uid="{676222E0-B1B7-490E-BF4C-1FC054234264}">
  <cacheSource type="worksheet">
    <worksheetSource ref="A1:D11" sheet="quotes"/>
  </cacheSource>
  <cacheFields count="4">
    <cacheField name="text" numFmtId="0">
      <sharedItems/>
    </cacheField>
    <cacheField name="length" numFmtId="0">
      <sharedItems containsSemiMixedTypes="0" containsString="0" containsNumber="1" containsInteger="1" minValue="50" maxValue="131"/>
    </cacheField>
    <cacheField name="author" numFmtId="0">
      <sharedItems count="8">
        <s v="Albert Einstein"/>
        <s v="J.K. Rowling"/>
        <s v="Jane Austen"/>
        <s v="Marilyn Monroe"/>
        <s v="André Gide"/>
        <s v="Thomas A. Edison"/>
        <s v="Eleanor Roosevelt"/>
        <s v="Steve Martin"/>
      </sharedItems>
    </cacheField>
    <cacheField name="genre" numFmtId="0">
      <sharedItems count="4">
        <s v="Science"/>
        <s v="Fiction"/>
        <s v="Art"/>
        <s v="Politics"/>
      </sharedItems>
    </cacheField>
  </cacheFields>
  <extLst>
    <ext xmlns:x14="http://schemas.microsoft.com/office/spreadsheetml/2009/9/main" uri="{725AE2AE-9491-48be-B2B4-4EB974FC3084}">
      <x14:pivotCacheDefinition pivotCacheId="8207324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“The world as we have created it is a process of our thinking. It cannot be changed without changing our thinking.”"/>
    <n v="115"/>
    <x v="0"/>
    <x v="0"/>
  </r>
  <r>
    <s v="“It is our choices, Harry, that show what we truly are, far more than our abilities.”"/>
    <n v="85"/>
    <x v="1"/>
    <x v="1"/>
  </r>
  <r>
    <s v="“There are only two ways to live your life. One is as though nothing is a miracle. The other is as though everything is a miracle.”"/>
    <n v="131"/>
    <x v="0"/>
    <x v="0"/>
  </r>
  <r>
    <s v="“The person, be it gentleman or lady, who has not pleasure in a good novel, must be intolerably stupid.”"/>
    <n v="104"/>
    <x v="2"/>
    <x v="1"/>
  </r>
  <r>
    <s v="“Imperfection is beauty, madness is genius and it's better to be absolutely ridiculous than absolutely boring.”"/>
    <n v="111"/>
    <x v="3"/>
    <x v="2"/>
  </r>
  <r>
    <s v="“Try not to become a man of success. Rather become a man of value.”"/>
    <n v="67"/>
    <x v="0"/>
    <x v="0"/>
  </r>
  <r>
    <s v="“It is better to be hated for what you are than to be loved for what you are not.”"/>
    <n v="82"/>
    <x v="4"/>
    <x v="1"/>
  </r>
  <r>
    <s v="“I have not failed. I've just found 10,000 ways that won't work.”"/>
    <n v="65"/>
    <x v="5"/>
    <x v="0"/>
  </r>
  <r>
    <s v="“A woman is like a tea bag; you never know how strong it is until it's in hot water.”"/>
    <n v="85"/>
    <x v="6"/>
    <x v="3"/>
  </r>
  <r>
    <s v="“A day without sunshine is like, you know, night.”"/>
    <n v="50"/>
    <x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B64C9-8031-4335-ABB5-40259A941ACD}" name="PivotTable1" cacheId="8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7" firstHeaderRow="0" firstDataRow="1" firstDataCol="1"/>
  <pivotFields count="4">
    <pivotField dataField="1" compact="0" outline="0" showAll="0"/>
    <pivotField dataField="1" compact="0" outline="0" showAll="0"/>
    <pivotField compact="0" outline="0" showAll="0">
      <items count="9">
        <item x="0"/>
        <item x="4"/>
        <item x="6"/>
        <item x="1"/>
        <item x="2"/>
        <item x="3"/>
        <item x="7"/>
        <item x="5"/>
        <item t="default"/>
      </items>
    </pivotField>
    <pivotField axis="axisRow" compact="0" outline="0" showAll="0">
      <items count="5">
        <item x="2"/>
        <item x="1"/>
        <item x="3"/>
        <item x="0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ext" fld="0" subtotal="count" baseField="0" baseItem="0"/>
    <dataField name="Average of length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uthor" xr10:uid="{B65CAA4E-1484-46AE-8CFB-E037D4FD0115}" sourceName="author">
  <pivotTables>
    <pivotTable tabId="2" name="PivotTable1"/>
  </pivotTables>
  <data>
    <tabular pivotCacheId="820732400">
      <items count="8">
        <i x="0" s="1"/>
        <i x="4" s="1"/>
        <i x="6" s="1"/>
        <i x="1" s="1"/>
        <i x="2" s="1"/>
        <i x="3" s="1"/>
        <i x="7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uthor" xr10:uid="{C137BD7E-E1CD-457E-A368-13D6C7734793}" cache="Slicer_author" caption="autho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9BDD-5206-4A76-BCB6-DF10F34E8429}">
  <dimension ref="A1:G9"/>
  <sheetViews>
    <sheetView tabSelected="1" workbookViewId="0">
      <selection activeCell="B14" sqref="B14"/>
    </sheetView>
  </sheetViews>
  <sheetFormatPr defaultRowHeight="15"/>
  <cols>
    <col min="1" max="1" width="3.140625" bestFit="1" customWidth="1"/>
    <col min="2" max="2" width="97.7109375" bestFit="1" customWidth="1"/>
    <col min="3" max="3" width="14.5703125" bestFit="1" customWidth="1"/>
    <col min="4" max="4" width="10" bestFit="1" customWidth="1"/>
    <col min="5" max="5" width="93.85546875" bestFit="1" customWidth="1"/>
    <col min="6" max="6" width="10.140625" bestFit="1" customWidth="1"/>
    <col min="7" max="7" width="10.42578125" bestFit="1" customWidth="1"/>
  </cols>
  <sheetData>
    <row r="1" spans="1:7">
      <c r="A1" s="11"/>
      <c r="B1" s="11"/>
      <c r="C1" s="32" t="s">
        <v>0</v>
      </c>
      <c r="D1" s="33">
        <v>96.5</v>
      </c>
      <c r="E1" s="11"/>
      <c r="F1" s="11"/>
      <c r="G1" s="11"/>
    </row>
    <row r="2" spans="1:7">
      <c r="A2" s="11"/>
      <c r="B2" s="11"/>
      <c r="C2" s="11"/>
      <c r="D2" s="11"/>
      <c r="E2" s="11"/>
      <c r="F2" s="11"/>
      <c r="G2" s="11"/>
    </row>
    <row r="3" spans="1:7">
      <c r="A3" s="23" t="s">
        <v>1</v>
      </c>
      <c r="B3" s="21" t="s">
        <v>2</v>
      </c>
      <c r="C3" s="23" t="s">
        <v>3</v>
      </c>
      <c r="D3" s="21" t="s">
        <v>4</v>
      </c>
      <c r="E3" s="26" t="s">
        <v>5</v>
      </c>
      <c r="F3" s="22" t="s">
        <v>6</v>
      </c>
      <c r="G3" s="29" t="s">
        <v>7</v>
      </c>
    </row>
    <row r="4" spans="1:7">
      <c r="A4" s="15">
        <v>9</v>
      </c>
      <c r="B4" s="15" t="s">
        <v>8</v>
      </c>
      <c r="C4" s="24">
        <v>64</v>
      </c>
      <c r="D4" s="16" t="s">
        <v>9</v>
      </c>
      <c r="E4" s="27" t="str">
        <f>PROPER(TRIM(B4))</f>
        <v>Wd 2Tb Elements Portable External Hard Drive - Usb 3.0</v>
      </c>
      <c r="F4" s="17">
        <f>C4*$D$1</f>
        <v>6176</v>
      </c>
      <c r="G4" s="30" t="str">
        <f>IF(F4&gt;10000,"Premium", "Standard")</f>
        <v>Standard</v>
      </c>
    </row>
    <row r="5" spans="1:7">
      <c r="A5" s="15">
        <v>10</v>
      </c>
      <c r="B5" s="15" t="s">
        <v>10</v>
      </c>
      <c r="C5" s="24">
        <v>109</v>
      </c>
      <c r="D5" s="16" t="s">
        <v>9</v>
      </c>
      <c r="E5" s="27" t="str">
        <f t="shared" ref="E5:E9" si="0">PROPER(TRIM(B5))</f>
        <v>Sandisk Ssd Plus 1Tb Internal Ssd - Sata Iii 6 Gb/S</v>
      </c>
      <c r="F5" s="17">
        <f t="shared" ref="F5:F9" si="1">C5*$D$1</f>
        <v>10518.5</v>
      </c>
      <c r="G5" s="30" t="str">
        <f t="shared" ref="G5:G9" si="2">IF(F5&gt;10000,"Premium", "Standard")</f>
        <v>Premium</v>
      </c>
    </row>
    <row r="6" spans="1:7">
      <c r="A6" s="15">
        <v>11</v>
      </c>
      <c r="B6" s="15" t="s">
        <v>11</v>
      </c>
      <c r="C6" s="24">
        <v>109</v>
      </c>
      <c r="D6" s="16" t="s">
        <v>9</v>
      </c>
      <c r="E6" s="27" t="str">
        <f t="shared" si="0"/>
        <v>Silicon Power 256Gb Ssd 3D Nand A55 Slc Cache Performance Boost Sata Iii 2.5</v>
      </c>
      <c r="F6" s="17">
        <f t="shared" si="1"/>
        <v>10518.5</v>
      </c>
      <c r="G6" s="30" t="str">
        <f t="shared" si="2"/>
        <v>Premium</v>
      </c>
    </row>
    <row r="7" spans="1:7">
      <c r="A7" s="15">
        <v>12</v>
      </c>
      <c r="B7" s="15" t="s">
        <v>12</v>
      </c>
      <c r="C7" s="24">
        <v>114</v>
      </c>
      <c r="D7" s="16" t="s">
        <v>9</v>
      </c>
      <c r="E7" s="27" t="str">
        <f t="shared" si="0"/>
        <v>Wd 4Tb Gaming Drive Works With Playstation 4 Portable External Hard Drive</v>
      </c>
      <c r="F7" s="17">
        <f t="shared" si="1"/>
        <v>11001</v>
      </c>
      <c r="G7" s="30" t="str">
        <f t="shared" si="2"/>
        <v>Premium</v>
      </c>
    </row>
    <row r="8" spans="1:7">
      <c r="A8" s="15">
        <v>13</v>
      </c>
      <c r="B8" s="15" t="s">
        <v>13</v>
      </c>
      <c r="C8" s="24">
        <v>599</v>
      </c>
      <c r="D8" s="16" t="s">
        <v>9</v>
      </c>
      <c r="E8" s="27" t="str">
        <f t="shared" si="0"/>
        <v>Acer Sb220Q Bi 21.5 Inches Full Hd (1920 X 1080) Ips Ultra-Thin</v>
      </c>
      <c r="F8" s="17">
        <f t="shared" si="1"/>
        <v>57803.5</v>
      </c>
      <c r="G8" s="30" t="str">
        <f t="shared" si="2"/>
        <v>Premium</v>
      </c>
    </row>
    <row r="9" spans="1:7">
      <c r="A9" s="18">
        <v>14</v>
      </c>
      <c r="B9" s="18" t="s">
        <v>14</v>
      </c>
      <c r="C9" s="25">
        <v>999.99</v>
      </c>
      <c r="D9" s="19" t="s">
        <v>9</v>
      </c>
      <c r="E9" s="28" t="str">
        <f t="shared" si="0"/>
        <v>Samsung 49-Inch Chg90 144Hz Curved Gaming Monitor (Lc49Hg90Dmnxza) – Super Ultrawide Screen Qled</v>
      </c>
      <c r="F9" s="20">
        <f t="shared" si="1"/>
        <v>96499.035000000003</v>
      </c>
      <c r="G9" s="31" t="str">
        <f t="shared" si="2"/>
        <v>Premium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B18" sqref="B18"/>
    </sheetView>
  </sheetViews>
  <sheetFormatPr defaultRowHeight="15"/>
  <cols>
    <col min="1" max="1" width="108.85546875" bestFit="1" customWidth="1"/>
    <col min="2" max="3" width="16.42578125" bestFit="1" customWidth="1"/>
    <col min="4" max="4" width="7.7109375" bestFit="1" customWidth="1"/>
  </cols>
  <sheetData>
    <row r="1" spans="1:4">
      <c r="A1" s="1" t="s">
        <v>15</v>
      </c>
      <c r="B1" s="2" t="s">
        <v>16</v>
      </c>
      <c r="C1" s="1" t="s">
        <v>17</v>
      </c>
      <c r="D1" s="3" t="s">
        <v>18</v>
      </c>
    </row>
    <row r="2" spans="1:4">
      <c r="A2" s="4" t="s">
        <v>19</v>
      </c>
      <c r="B2" s="5">
        <f>LEN(A2)</f>
        <v>115</v>
      </c>
      <c r="C2" s="6" t="s">
        <v>20</v>
      </c>
      <c r="D2" s="7" t="str">
        <f>_xlfn.XLOOKUP(C2,author_genre!$A$2:$A$9,author_genre!$B$2:$B$9)</f>
        <v>Science</v>
      </c>
    </row>
    <row r="3" spans="1:4">
      <c r="A3" s="8" t="s">
        <v>21</v>
      </c>
      <c r="B3" s="5">
        <f t="shared" ref="B3:B11" si="0">LEN(A3)</f>
        <v>85</v>
      </c>
      <c r="C3" s="6" t="s">
        <v>22</v>
      </c>
      <c r="D3" s="7" t="str">
        <f>_xlfn.XLOOKUP(C3,author_genre!$A$2:$A$9,author_genre!$B$2:$B$9)</f>
        <v>Fiction</v>
      </c>
    </row>
    <row r="4" spans="1:4">
      <c r="A4" s="8" t="s">
        <v>23</v>
      </c>
      <c r="B4" s="5">
        <f t="shared" si="0"/>
        <v>131</v>
      </c>
      <c r="C4" s="6" t="s">
        <v>20</v>
      </c>
      <c r="D4" s="7" t="str">
        <f>_xlfn.XLOOKUP(C4,author_genre!$A$2:$A$9,author_genre!$B$2:$B$9)</f>
        <v>Science</v>
      </c>
    </row>
    <row r="5" spans="1:4">
      <c r="A5" s="8" t="s">
        <v>24</v>
      </c>
      <c r="B5" s="5">
        <f t="shared" si="0"/>
        <v>104</v>
      </c>
      <c r="C5" s="6" t="s">
        <v>25</v>
      </c>
      <c r="D5" s="7" t="str">
        <f>_xlfn.XLOOKUP(C5,author_genre!$A$2:$A$9,author_genre!$B$2:$B$9)</f>
        <v>Fiction</v>
      </c>
    </row>
    <row r="6" spans="1:4">
      <c r="A6" s="8" t="s">
        <v>26</v>
      </c>
      <c r="B6" s="5">
        <f t="shared" si="0"/>
        <v>111</v>
      </c>
      <c r="C6" s="6" t="s">
        <v>27</v>
      </c>
      <c r="D6" s="7" t="str">
        <f>_xlfn.XLOOKUP(C6,author_genre!$A$2:$A$9,author_genre!$B$2:$B$9)</f>
        <v>Art</v>
      </c>
    </row>
    <row r="7" spans="1:4">
      <c r="A7" s="8" t="s">
        <v>28</v>
      </c>
      <c r="B7" s="5">
        <f t="shared" si="0"/>
        <v>67</v>
      </c>
      <c r="C7" s="6" t="s">
        <v>20</v>
      </c>
      <c r="D7" s="7" t="str">
        <f>_xlfn.XLOOKUP(C7,author_genre!$A$2:$A$9,author_genre!$B$2:$B$9)</f>
        <v>Science</v>
      </c>
    </row>
    <row r="8" spans="1:4">
      <c r="A8" s="8" t="s">
        <v>29</v>
      </c>
      <c r="B8" s="5">
        <f t="shared" si="0"/>
        <v>82</v>
      </c>
      <c r="C8" s="6" t="s">
        <v>30</v>
      </c>
      <c r="D8" s="7" t="str">
        <f>_xlfn.XLOOKUP(C8,author_genre!$A$2:$A$9,author_genre!$B$2:$B$9)</f>
        <v>Fiction</v>
      </c>
    </row>
    <row r="9" spans="1:4">
      <c r="A9" s="8" t="s">
        <v>31</v>
      </c>
      <c r="B9" s="5">
        <f t="shared" si="0"/>
        <v>65</v>
      </c>
      <c r="C9" s="6" t="s">
        <v>32</v>
      </c>
      <c r="D9" s="7" t="str">
        <f>_xlfn.XLOOKUP(C9,author_genre!$A$2:$A$9,author_genre!$B$2:$B$9)</f>
        <v>Science</v>
      </c>
    </row>
    <row r="10" spans="1:4">
      <c r="A10" s="8" t="s">
        <v>33</v>
      </c>
      <c r="B10" s="5">
        <f t="shared" si="0"/>
        <v>85</v>
      </c>
      <c r="C10" s="6" t="s">
        <v>34</v>
      </c>
      <c r="D10" s="7" t="str">
        <f>_xlfn.XLOOKUP(C10,author_genre!$A$2:$A$9,author_genre!$B$2:$B$9)</f>
        <v>Politics</v>
      </c>
    </row>
    <row r="11" spans="1:4">
      <c r="A11" s="9" t="s">
        <v>35</v>
      </c>
      <c r="B11" s="5">
        <f t="shared" si="0"/>
        <v>50</v>
      </c>
      <c r="C11" s="10" t="s">
        <v>36</v>
      </c>
      <c r="D11" s="7" t="str">
        <f>_xlfn.XLOOKUP(C11,author_genre!$A$2:$A$9,author_genre!$B$2:$B$9)</f>
        <v>Art</v>
      </c>
    </row>
    <row r="12" spans="1:4">
      <c r="A12" s="11"/>
      <c r="B12" s="11"/>
      <c r="C12" s="11"/>
      <c r="D12" s="11"/>
    </row>
    <row r="13" spans="1:4">
      <c r="A13" s="11"/>
      <c r="D13" s="11"/>
    </row>
    <row r="14" spans="1:4">
      <c r="A14" s="11"/>
      <c r="D14" s="11"/>
    </row>
    <row r="15" spans="1:4">
      <c r="A15" s="11"/>
      <c r="D15" s="11"/>
    </row>
    <row r="16" spans="1:4">
      <c r="A16" s="11"/>
      <c r="D16" s="11"/>
    </row>
    <row r="17" spans="1:4">
      <c r="A17" s="11"/>
      <c r="D17" s="11"/>
    </row>
    <row r="18" spans="1:4">
      <c r="A18" s="11"/>
      <c r="D18" s="11"/>
    </row>
    <row r="19" spans="1:4">
      <c r="A19" s="11"/>
      <c r="D19" s="11"/>
    </row>
    <row r="20" spans="1:4">
      <c r="A20" s="11"/>
      <c r="D20" s="11"/>
    </row>
    <row r="21" spans="1:4">
      <c r="A21" s="11"/>
      <c r="D2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5652-3EE6-4B36-BB74-390444907932}">
  <dimension ref="A1:B9"/>
  <sheetViews>
    <sheetView workbookViewId="0">
      <selection sqref="A1:B9"/>
    </sheetView>
  </sheetViews>
  <sheetFormatPr defaultRowHeight="15"/>
  <cols>
    <col min="1" max="1" width="16.42578125" bestFit="1" customWidth="1"/>
    <col min="2" max="2" width="7.7109375" bestFit="1" customWidth="1"/>
  </cols>
  <sheetData>
    <row r="1" spans="1:2">
      <c r="A1" s="1" t="s">
        <v>37</v>
      </c>
      <c r="B1" s="12" t="s">
        <v>38</v>
      </c>
    </row>
    <row r="2" spans="1:2">
      <c r="A2" s="8" t="s">
        <v>20</v>
      </c>
      <c r="B2" s="6" t="s">
        <v>39</v>
      </c>
    </row>
    <row r="3" spans="1:2">
      <c r="A3" s="8" t="s">
        <v>22</v>
      </c>
      <c r="B3" s="6" t="s">
        <v>40</v>
      </c>
    </row>
    <row r="4" spans="1:2">
      <c r="A4" s="8" t="s">
        <v>25</v>
      </c>
      <c r="B4" s="6" t="s">
        <v>40</v>
      </c>
    </row>
    <row r="5" spans="1:2">
      <c r="A5" s="8" t="s">
        <v>27</v>
      </c>
      <c r="B5" s="6" t="s">
        <v>41</v>
      </c>
    </row>
    <row r="6" spans="1:2">
      <c r="A6" s="8" t="s">
        <v>30</v>
      </c>
      <c r="B6" s="6" t="s">
        <v>40</v>
      </c>
    </row>
    <row r="7" spans="1:2">
      <c r="A7" s="8" t="s">
        <v>32</v>
      </c>
      <c r="B7" s="6" t="s">
        <v>39</v>
      </c>
    </row>
    <row r="8" spans="1:2">
      <c r="A8" s="8" t="s">
        <v>34</v>
      </c>
      <c r="B8" s="6" t="s">
        <v>42</v>
      </c>
    </row>
    <row r="9" spans="1:2">
      <c r="A9" s="9" t="s">
        <v>36</v>
      </c>
      <c r="B9" s="10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9B64-102E-47EF-85A5-7F7697C4B21F}">
  <dimension ref="A2:C7"/>
  <sheetViews>
    <sheetView workbookViewId="0">
      <selection activeCell="N10" sqref="N10"/>
    </sheetView>
  </sheetViews>
  <sheetFormatPr defaultRowHeight="15"/>
  <cols>
    <col min="1" max="1" width="11.7109375" bestFit="1" customWidth="1"/>
    <col min="2" max="2" width="12.85546875" bestFit="1" customWidth="1"/>
    <col min="3" max="3" width="17" bestFit="1" customWidth="1"/>
  </cols>
  <sheetData>
    <row r="2" spans="1:3">
      <c r="A2" s="13" t="s">
        <v>18</v>
      </c>
      <c r="B2" t="s">
        <v>43</v>
      </c>
      <c r="C2" t="s">
        <v>44</v>
      </c>
    </row>
    <row r="3" spans="1:3">
      <c r="A3" t="s">
        <v>41</v>
      </c>
      <c r="B3" s="14">
        <v>2</v>
      </c>
      <c r="C3" s="14">
        <v>80.5</v>
      </c>
    </row>
    <row r="4" spans="1:3">
      <c r="A4" t="s">
        <v>40</v>
      </c>
      <c r="B4" s="14">
        <v>3</v>
      </c>
      <c r="C4" s="14">
        <v>90.333333333333329</v>
      </c>
    </row>
    <row r="5" spans="1:3">
      <c r="A5" t="s">
        <v>42</v>
      </c>
      <c r="B5" s="14">
        <v>1</v>
      </c>
      <c r="C5" s="14">
        <v>85</v>
      </c>
    </row>
    <row r="6" spans="1:3">
      <c r="A6" t="s">
        <v>39</v>
      </c>
      <c r="B6" s="14">
        <v>4</v>
      </c>
      <c r="C6" s="14">
        <v>94.5</v>
      </c>
    </row>
    <row r="7" spans="1:3">
      <c r="A7" t="s">
        <v>45</v>
      </c>
      <c r="B7" s="14">
        <v>10</v>
      </c>
      <c r="C7" s="14">
        <v>89.5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2026-06-23T05:49:31Z</dcterms:created>
  <dcterms:modified xsi:type="dcterms:W3CDTF">2026-06-23T06:04:02Z</dcterms:modified>
  <cp:category/>
  <cp:contentStatus/>
</cp:coreProperties>
</file>